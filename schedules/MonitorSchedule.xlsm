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/>
  <fileSharing readOnlyRecommended="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Yu\github\scheduler\schedules\"/>
    </mc:Choice>
  </mc:AlternateContent>
  <xr:revisionPtr revIDLastSave="0" documentId="13_ncr:1_{25D15A37-307E-4329-A015-215CD498B331}" xr6:coauthVersionLast="45" xr6:coauthVersionMax="45" xr10:uidLastSave="{00000000-0000-0000-0000-000000000000}"/>
  <bookViews>
    <workbookView xWindow="29115" yWindow="180" windowWidth="18225" windowHeight="10200" xr2:uid="{4F8E925C-91EC-459F-9B1C-44072D01479A}"/>
  </bookViews>
  <sheets>
    <sheet name="latest" sheetId="7" r:id="rId1"/>
    <sheet name="template" sheetId="12" r:id="rId2"/>
    <sheet name="monitors" sheetId="1" r:id="rId3"/>
    <sheet name="filters" sheetId="13" r:id="rId4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44" i="12" l="1"/>
  <c r="G44" i="12"/>
  <c r="F44" i="12"/>
  <c r="E44" i="12"/>
  <c r="D44" i="12"/>
  <c r="C44" i="12"/>
  <c r="B44" i="12"/>
  <c r="A43" i="12"/>
  <c r="F43" i="12" s="1"/>
  <c r="A42" i="12"/>
  <c r="F42" i="12" s="1"/>
  <c r="A41" i="12"/>
  <c r="F41" i="12" s="1"/>
  <c r="F45" i="12" s="1"/>
  <c r="H40" i="12"/>
  <c r="G40" i="12"/>
  <c r="F40" i="12"/>
  <c r="E40" i="12"/>
  <c r="D40" i="12"/>
  <c r="C40" i="12"/>
  <c r="B40" i="12"/>
  <c r="G41" i="12" l="1"/>
  <c r="G42" i="12"/>
  <c r="G43" i="12"/>
  <c r="C41" i="12"/>
  <c r="C43" i="12"/>
  <c r="H41" i="12"/>
  <c r="H42" i="12"/>
  <c r="H43" i="12"/>
  <c r="B41" i="12"/>
  <c r="B45" i="12" s="1"/>
  <c r="B42" i="12"/>
  <c r="B43" i="12"/>
  <c r="C42" i="12"/>
  <c r="D41" i="12"/>
  <c r="D42" i="12"/>
  <c r="D43" i="12"/>
  <c r="E41" i="12"/>
  <c r="E42" i="12"/>
  <c r="E43" i="12"/>
  <c r="H44" i="7"/>
  <c r="G44" i="7"/>
  <c r="F44" i="7"/>
  <c r="E44" i="7"/>
  <c r="D44" i="7"/>
  <c r="C44" i="7"/>
  <c r="B44" i="7"/>
  <c r="G45" i="12" l="1"/>
  <c r="E45" i="12"/>
  <c r="H45" i="12"/>
  <c r="D45" i="12"/>
  <c r="C45" i="12"/>
  <c r="A43" i="7"/>
  <c r="H43" i="7" l="1"/>
  <c r="G43" i="7"/>
  <c r="F43" i="7"/>
  <c r="E43" i="7"/>
  <c r="D43" i="7"/>
  <c r="C43" i="7"/>
  <c r="B43" i="7"/>
  <c r="A42" i="7"/>
  <c r="A41" i="7"/>
  <c r="H40" i="7"/>
  <c r="G40" i="7"/>
  <c r="F40" i="7"/>
  <c r="E40" i="7"/>
  <c r="D40" i="7"/>
  <c r="C40" i="7"/>
  <c r="B40" i="7"/>
  <c r="F41" i="7" l="1"/>
  <c r="E41" i="7"/>
  <c r="D41" i="7"/>
  <c r="C41" i="7"/>
  <c r="B41" i="7"/>
  <c r="H41" i="7"/>
  <c r="G41" i="7"/>
  <c r="G42" i="7"/>
  <c r="F42" i="7"/>
  <c r="E42" i="7"/>
  <c r="D42" i="7"/>
  <c r="C42" i="7"/>
  <c r="B42" i="7"/>
  <c r="H42" i="7"/>
  <c r="F45" i="7" l="1"/>
  <c r="G45" i="7"/>
  <c r="C45" i="7"/>
  <c r="B45" i="7"/>
  <c r="E45" i="7"/>
  <c r="D45" i="7"/>
  <c r="H45" i="7"/>
</calcChain>
</file>

<file path=xl/sharedStrings.xml><?xml version="1.0" encoding="utf-8"?>
<sst xmlns="http://schemas.openxmlformats.org/spreadsheetml/2006/main" count="145" uniqueCount="70">
  <si>
    <t>Monitors</t>
    <phoneticPr fontId="1"/>
  </si>
  <si>
    <t>No.</t>
    <phoneticPr fontId="1"/>
  </si>
  <si>
    <t>Name(Unique)</t>
    <phoneticPr fontId="1"/>
  </si>
  <si>
    <t>Name must be unique.</t>
    <phoneticPr fontId="1"/>
  </si>
  <si>
    <t>Note</t>
    <phoneticPr fontId="1"/>
  </si>
  <si>
    <t>John</t>
    <phoneticPr fontId="1"/>
  </si>
  <si>
    <t>Tim</t>
    <phoneticPr fontId="1"/>
  </si>
  <si>
    <t>Tom</t>
    <phoneticPr fontId="1"/>
  </si>
  <si>
    <t>George</t>
    <phoneticPr fontId="1"/>
  </si>
  <si>
    <t>Bob</t>
    <phoneticPr fontId="1"/>
  </si>
  <si>
    <t>James</t>
    <phoneticPr fontId="1"/>
  </si>
  <si>
    <t>Chris</t>
    <phoneticPr fontId="1"/>
  </si>
  <si>
    <t>FIX</t>
    <phoneticPr fontId="1"/>
  </si>
  <si>
    <t>At least one person whom FIX is 1 must be morning monitor.</t>
    <phoneticPr fontId="1"/>
  </si>
  <si>
    <t>Combinations</t>
    <phoneticPr fontId="1"/>
  </si>
  <si>
    <t>At least one of below members must work at office.</t>
    <phoneticPr fontId="1"/>
  </si>
  <si>
    <t>Member1</t>
    <phoneticPr fontId="1"/>
  </si>
  <si>
    <t>Member2</t>
    <phoneticPr fontId="1"/>
  </si>
  <si>
    <t>John</t>
  </si>
  <si>
    <t>Tim</t>
  </si>
  <si>
    <t>Tom</t>
  </si>
  <si>
    <t>James</t>
  </si>
  <si>
    <t>Chris</t>
  </si>
  <si>
    <t>Date</t>
    <phoneticPr fontId="1"/>
  </si>
  <si>
    <t>George</t>
  </si>
  <si>
    <t>Bob</t>
  </si>
  <si>
    <t>R</t>
    <phoneticPr fontId="1"/>
  </si>
  <si>
    <t>N</t>
    <phoneticPr fontId="1"/>
  </si>
  <si>
    <t>PL</t>
    <phoneticPr fontId="1"/>
  </si>
  <si>
    <t>Summary</t>
    <phoneticPr fontId="1"/>
  </si>
  <si>
    <t>Sum of monitor dates</t>
    <phoneticPr fontId="1"/>
  </si>
  <si>
    <t>Latest monitoring schedule</t>
    <phoneticPr fontId="1"/>
  </si>
  <si>
    <t>AM1</t>
    <phoneticPr fontId="1"/>
  </si>
  <si>
    <t>AM2</t>
    <phoneticPr fontId="1"/>
  </si>
  <si>
    <t>PM</t>
    <phoneticPr fontId="1"/>
  </si>
  <si>
    <t>Mountain Day</t>
    <phoneticPr fontId="1"/>
  </si>
  <si>
    <t>Holiday</t>
    <phoneticPr fontId="1"/>
  </si>
  <si>
    <t>RV</t>
    <phoneticPr fontId="1"/>
  </si>
  <si>
    <t>Leave</t>
    <phoneticPr fontId="1"/>
  </si>
  <si>
    <t>R max -&gt;</t>
    <phoneticPr fontId="1"/>
  </si>
  <si>
    <t>Greg</t>
    <phoneticPr fontId="1"/>
  </si>
  <si>
    <t>R</t>
    <phoneticPr fontId="1"/>
  </si>
  <si>
    <t>Filters configuration</t>
    <phoneticPr fontId="1"/>
  </si>
  <si>
    <t>Name</t>
    <phoneticPr fontId="1"/>
  </si>
  <si>
    <t>Disable</t>
    <phoneticPr fontId="1"/>
  </si>
  <si>
    <t>Description</t>
    <phoneticPr fontId="1"/>
  </si>
  <si>
    <t>If you want to disable some filters, set 'Y' in the Disable column.</t>
    <phoneticPr fontId="1"/>
  </si>
  <si>
    <t>Fiters for monitor assignment</t>
    <phoneticPr fontId="1"/>
  </si>
  <si>
    <t>Filters for remote assignment</t>
    <phoneticPr fontId="1"/>
  </si>
  <si>
    <t>MANUAL_INPUT</t>
    <phoneticPr fontId="1"/>
  </si>
  <si>
    <t>MONITORING_MAX</t>
    <phoneticPr fontId="1"/>
  </si>
  <si>
    <t>AM_AM_IN_A_ROW</t>
    <phoneticPr fontId="1"/>
  </si>
  <si>
    <t>PM_AM_IN_A_ROW</t>
    <phoneticPr fontId="1"/>
  </si>
  <si>
    <t>PM_PM_IN_A_ROW</t>
    <phoneticPr fontId="1"/>
  </si>
  <si>
    <t>REMOTE_2DAYS_IN_A_ROW</t>
    <phoneticPr fontId="1"/>
  </si>
  <si>
    <t>MUST_WORK_AT_OFFICE_GROUP</t>
    <phoneticPr fontId="1"/>
  </si>
  <si>
    <t>REMOTE_MAX</t>
    <phoneticPr fontId="1"/>
  </si>
  <si>
    <t>Y</t>
    <phoneticPr fontId="1"/>
  </si>
  <si>
    <t>AM1</t>
  </si>
  <si>
    <t>AM2</t>
  </si>
  <si>
    <t>PM</t>
  </si>
  <si>
    <t>R per day -&gt;</t>
    <phoneticPr fontId="1"/>
  </si>
  <si>
    <t>Morning monitoring1</t>
    <phoneticPr fontId="1"/>
  </si>
  <si>
    <t>Morning monitoring2</t>
    <phoneticPr fontId="1"/>
  </si>
  <si>
    <t>Afternoon monitoring</t>
    <phoneticPr fontId="1"/>
  </si>
  <si>
    <t>Normal</t>
    <phoneticPr fontId="1"/>
  </si>
  <si>
    <t>Remote work</t>
    <phoneticPr fontId="1"/>
  </si>
  <si>
    <t>Paid leave</t>
    <phoneticPr fontId="1"/>
  </si>
  <si>
    <t>LV</t>
    <phoneticPr fontId="1"/>
  </si>
  <si>
    <t>Long vacation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</si>
</sst>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\(ddd\)"/>
  </numFmts>
  <fonts count="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11"/>
      <color rgb="FFFF00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theme="9" tint="-0.499984740745262"/>
      </top>
      <bottom style="thin">
        <color theme="9" tint="-0.499984740745262"/>
      </bottom>
      <diagonal/>
    </border>
    <border>
      <left style="thin">
        <color theme="9" tint="-0.24994659260841701"/>
      </left>
      <right style="thin">
        <color theme="9" tint="-0.24994659260841701"/>
      </right>
      <top style="medium">
        <color theme="9" tint="-0.499984740745262"/>
      </top>
      <bottom style="thin">
        <color theme="9" tint="-0.499984740745262"/>
      </bottom>
      <diagonal/>
    </border>
    <border>
      <left/>
      <right style="medium">
        <color theme="9" tint="-0.499984740745262"/>
      </right>
      <top style="medium">
        <color theme="9" tint="-0.499984740745262"/>
      </top>
      <bottom style="thin">
        <color theme="9" tint="-0.499984740745262"/>
      </bottom>
      <diagonal/>
    </border>
    <border>
      <left/>
      <right/>
      <top style="thin">
        <color theme="9" tint="-0.499984740745262"/>
      </top>
      <bottom style="thin">
        <color theme="9" tint="-0.499984740745262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499984740745262"/>
      </top>
      <bottom style="thin">
        <color theme="9" tint="-0.499984740745262"/>
      </bottom>
      <diagonal/>
    </border>
    <border>
      <left/>
      <right style="medium">
        <color theme="9" tint="-0.499984740745262"/>
      </right>
      <top style="thin">
        <color theme="9" tint="-0.499984740745262"/>
      </top>
      <bottom style="thin">
        <color theme="9" tint="-0.499984740745262"/>
      </bottom>
      <diagonal/>
    </border>
    <border>
      <left/>
      <right/>
      <top style="thin">
        <color theme="9" tint="-0.499984740745262"/>
      </top>
      <bottom style="medium">
        <color theme="9" tint="-0.499984740745262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499984740745262"/>
      </top>
      <bottom style="medium">
        <color theme="9" tint="-0.499984740745262"/>
      </bottom>
      <diagonal/>
    </border>
    <border>
      <left/>
      <right style="medium">
        <color theme="9" tint="-0.499984740745262"/>
      </right>
      <top style="thin">
        <color theme="9" tint="-0.499984740745262"/>
      </top>
      <bottom style="medium">
        <color theme="9" tint="-0.499984740745262"/>
      </bottom>
      <diagonal/>
    </border>
    <border>
      <left style="thin">
        <color theme="9" tint="-0.499984740745262"/>
      </left>
      <right style="thin">
        <color theme="9" tint="-0.499984740745262"/>
      </right>
      <top style="thin">
        <color theme="9" tint="-0.499984740745262"/>
      </top>
      <bottom style="thin">
        <color theme="9" tint="-0.499984740745262"/>
      </bottom>
      <diagonal/>
    </border>
    <border>
      <left style="medium">
        <color theme="9" tint="-0.499984740745262"/>
      </left>
      <right style="thin">
        <color theme="9" tint="-0.499984740745262"/>
      </right>
      <top style="medium">
        <color theme="9" tint="-0.499984740745262"/>
      </top>
      <bottom style="thin">
        <color theme="9" tint="-0.499984740745262"/>
      </bottom>
      <diagonal/>
    </border>
    <border>
      <left style="medium">
        <color theme="9" tint="-0.499984740745262"/>
      </left>
      <right style="thin">
        <color theme="9" tint="-0.499984740745262"/>
      </right>
      <top style="thin">
        <color theme="9" tint="-0.499984740745262"/>
      </top>
      <bottom style="thin">
        <color theme="9" tint="-0.499984740745262"/>
      </bottom>
      <diagonal/>
    </border>
    <border>
      <left style="medium">
        <color theme="9" tint="-0.499984740745262"/>
      </left>
      <right style="thin">
        <color theme="9" tint="-0.499984740745262"/>
      </right>
      <top style="thin">
        <color theme="9" tint="-0.499984740745262"/>
      </top>
      <bottom style="medium">
        <color theme="9" tint="-0.499984740745262"/>
      </bottom>
      <diagonal/>
    </border>
  </borders>
  <cellStyleXfs count="1">
    <xf numFmtId="0" fontId="0" fillId="0" borderId="0">
      <alignment vertical="center"/>
    </xf>
  </cellStyleXfs>
  <cellXfs count="32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2" fillId="0" borderId="0" xfId="0" applyFont="1">
      <alignment vertical="center"/>
    </xf>
    <xf numFmtId="176" fontId="0" fillId="0" borderId="1" xfId="0" applyNumberFormat="1" applyBorder="1" applyAlignment="1">
      <alignment horizontal="left" vertical="center"/>
    </xf>
    <xf numFmtId="0" fontId="2" fillId="4" borderId="1" xfId="0" applyFont="1" applyFill="1" applyBorder="1">
      <alignment vertical="center"/>
    </xf>
    <xf numFmtId="0" fontId="0" fillId="4" borderId="1" xfId="0" applyFill="1" applyBorder="1">
      <alignment vertical="center"/>
    </xf>
    <xf numFmtId="0" fontId="0" fillId="5" borderId="1" xfId="0" applyFill="1" applyBorder="1">
      <alignment vertical="center"/>
    </xf>
    <xf numFmtId="0" fontId="3" fillId="0" borderId="0" xfId="0" applyFont="1">
      <alignment vertical="center"/>
    </xf>
    <xf numFmtId="0" fontId="0" fillId="3" borderId="2" xfId="0" applyFill="1" applyBorder="1">
      <alignment vertical="center"/>
    </xf>
    <xf numFmtId="0" fontId="0" fillId="3" borderId="4" xfId="0" applyFill="1" applyBorder="1">
      <alignment vertical="center"/>
    </xf>
    <xf numFmtId="0" fontId="0" fillId="3" borderId="5" xfId="0" applyFill="1" applyBorder="1">
      <alignment vertical="center"/>
    </xf>
    <xf numFmtId="0" fontId="0" fillId="3" borderId="7" xfId="0" applyFill="1" applyBorder="1">
      <alignment vertical="center"/>
    </xf>
    <xf numFmtId="0" fontId="0" fillId="3" borderId="8" xfId="0" applyFill="1" applyBorder="1">
      <alignment vertical="center"/>
    </xf>
    <xf numFmtId="0" fontId="0" fillId="3" borderId="10" xfId="0" applyFill="1" applyBorder="1">
      <alignment vertical="center"/>
    </xf>
    <xf numFmtId="0" fontId="0" fillId="0" borderId="0" xfId="0" applyAlignment="1">
      <alignment horizontal="right" vertical="center"/>
    </xf>
    <xf numFmtId="0" fontId="0" fillId="0" borderId="0" xfId="0" applyBorder="1">
      <alignment vertical="center"/>
    </xf>
    <xf numFmtId="0" fontId="0" fillId="0" borderId="0" xfId="0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3" borderId="9" xfId="0" applyFill="1" applyBorder="1" applyAlignment="1">
      <alignment horizontal="center" vertical="center"/>
    </xf>
    <xf numFmtId="0" fontId="2" fillId="0" borderId="0" xfId="0" applyFont="1" applyBorder="1">
      <alignment vertical="center"/>
    </xf>
    <xf numFmtId="0" fontId="0" fillId="3" borderId="12" xfId="0" applyFill="1" applyBorder="1" applyAlignment="1">
      <alignment horizontal="center" vertical="center"/>
    </xf>
    <xf numFmtId="0" fontId="0" fillId="3" borderId="13" xfId="0" applyFill="1" applyBorder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</cellXfs>
  <cellStyles count="1">
    <cellStyle name="標準" xfId="0" builtinId="0"/>
  </cellStyles>
  <dxfs count="24"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rgb="FF99FF99"/>
        </patternFill>
      </fill>
    </dxf>
    <dxf>
      <fill>
        <patternFill>
          <bgColor rgb="FFCCFFFF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rgb="FF99FF99"/>
        </patternFill>
      </fill>
    </dxf>
    <dxf>
      <fill>
        <patternFill>
          <bgColor rgb="FFCCFFFF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rgb="FF99FF99"/>
        </patternFill>
      </fill>
    </dxf>
    <dxf>
      <fill>
        <patternFill>
          <bgColor rgb="FFCCFFFF"/>
        </patternFill>
      </fill>
    </dxf>
    <dxf>
      <fill>
        <patternFill>
          <bgColor theme="0" tint="-0.14996795556505021"/>
        </patternFill>
      </fill>
    </dxf>
    <dxf>
      <font>
        <color rgb="FF00B0F0"/>
      </font>
    </dxf>
    <dxf>
      <font>
        <color rgb="FFFF0000"/>
      </font>
    </dxf>
    <dxf>
      <font>
        <color rgb="FFFF0000"/>
      </font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rgb="FF99FF99"/>
        </patternFill>
      </fill>
    </dxf>
    <dxf>
      <fill>
        <patternFill>
          <bgColor rgb="FFCCFFFF"/>
        </patternFill>
      </fill>
    </dxf>
    <dxf>
      <fill>
        <patternFill>
          <bgColor theme="0" tint="-0.14996795556505021"/>
        </patternFill>
      </fill>
    </dxf>
    <dxf>
      <font>
        <color rgb="FF00B0F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mruColors>
      <color rgb="FFCCFFFF"/>
      <color rgb="FF66FFFF"/>
      <color rgb="FF99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F7BFC2-1870-4345-94E2-138D95752E09}">
  <dimension ref="A1:N45"/>
  <sheetViews>
    <sheetView tabSelected="1" zoomScale="85" zoomScaleNormal="85"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8" x14ac:dyDescent="0.55000000000000004"/>
  <cols>
    <col min="1" max="1" width="20.08203125" bestFit="1" customWidth="1"/>
    <col min="2" max="2" width="8.6640625" customWidth="1"/>
    <col min="10" max="10" width="18.83203125" customWidth="1"/>
  </cols>
  <sheetData>
    <row r="1" spans="1:14" ht="23" thickBot="1" x14ac:dyDescent="0.6">
      <c r="A1" s="8" t="s">
        <v>31</v>
      </c>
      <c r="G1" s="25"/>
    </row>
    <row r="2" spans="1:14" x14ac:dyDescent="0.55000000000000004">
      <c r="G2" s="26" t="s">
        <v>32</v>
      </c>
      <c r="H2" s="9" t="s">
        <v>62</v>
      </c>
      <c r="I2" s="9"/>
      <c r="J2" s="9"/>
      <c r="K2" s="21" t="s">
        <v>26</v>
      </c>
      <c r="L2" s="9" t="s">
        <v>66</v>
      </c>
      <c r="M2" s="9"/>
      <c r="N2" s="10"/>
    </row>
    <row r="3" spans="1:14" x14ac:dyDescent="0.55000000000000004">
      <c r="G3" s="27" t="s">
        <v>33</v>
      </c>
      <c r="H3" s="11" t="s">
        <v>63</v>
      </c>
      <c r="I3" s="11"/>
      <c r="J3" s="11"/>
      <c r="K3" s="22" t="s">
        <v>28</v>
      </c>
      <c r="L3" s="11" t="s">
        <v>67</v>
      </c>
      <c r="M3" s="11"/>
      <c r="N3" s="12"/>
    </row>
    <row r="4" spans="1:14" x14ac:dyDescent="0.55000000000000004">
      <c r="G4" s="27" t="s">
        <v>34</v>
      </c>
      <c r="H4" s="11" t="s">
        <v>64</v>
      </c>
      <c r="I4" s="11"/>
      <c r="J4" s="11"/>
      <c r="K4" s="23" t="s">
        <v>68</v>
      </c>
      <c r="L4" s="11" t="s">
        <v>69</v>
      </c>
      <c r="M4" s="11"/>
      <c r="N4" s="12"/>
    </row>
    <row r="5" spans="1:14" ht="18.5" thickBot="1" x14ac:dyDescent="0.6">
      <c r="A5" s="15" t="s">
        <v>61</v>
      </c>
      <c r="B5">
        <v>2</v>
      </c>
      <c r="G5" s="28" t="s">
        <v>27</v>
      </c>
      <c r="H5" s="13" t="s">
        <v>65</v>
      </c>
      <c r="I5" s="13"/>
      <c r="J5" s="13"/>
      <c r="K5" s="24"/>
      <c r="L5" s="13"/>
      <c r="M5" s="13"/>
      <c r="N5" s="14"/>
    </row>
    <row r="6" spans="1:14" x14ac:dyDescent="0.55000000000000004">
      <c r="A6" s="15" t="s">
        <v>39</v>
      </c>
      <c r="B6">
        <v>10</v>
      </c>
    </row>
    <row r="7" spans="1:14" x14ac:dyDescent="0.55000000000000004">
      <c r="A7" s="2" t="s">
        <v>23</v>
      </c>
      <c r="B7" s="2" t="s">
        <v>18</v>
      </c>
      <c r="C7" s="2" t="s">
        <v>19</v>
      </c>
      <c r="D7" s="2" t="s">
        <v>20</v>
      </c>
      <c r="E7" s="2" t="s">
        <v>24</v>
      </c>
      <c r="F7" s="2" t="s">
        <v>25</v>
      </c>
      <c r="G7" s="2" t="s">
        <v>21</v>
      </c>
      <c r="H7" s="2" t="s">
        <v>22</v>
      </c>
      <c r="I7" s="2" t="s">
        <v>40</v>
      </c>
      <c r="J7" s="7" t="s">
        <v>36</v>
      </c>
      <c r="L7" s="2" t="s">
        <v>58</v>
      </c>
      <c r="M7" s="2" t="s">
        <v>59</v>
      </c>
      <c r="N7" s="2" t="s">
        <v>60</v>
      </c>
    </row>
    <row r="8" spans="1:14" x14ac:dyDescent="0.55000000000000004">
      <c r="A8" s="4">
        <v>44044</v>
      </c>
      <c r="B8" s="18"/>
      <c r="C8" s="18"/>
      <c r="D8" s="18"/>
      <c r="E8" s="18"/>
      <c r="F8" s="18"/>
      <c r="G8" s="18"/>
      <c r="H8" s="18"/>
      <c r="I8" s="18"/>
      <c r="J8" s="1"/>
      <c r="L8" s="1"/>
      <c r="M8" s="1"/>
      <c r="N8" s="1"/>
    </row>
    <row r="9" spans="1:14" x14ac:dyDescent="0.55000000000000004">
      <c r="A9" s="4">
        <v>44045</v>
      </c>
      <c r="B9" s="18"/>
      <c r="C9" s="18"/>
      <c r="D9" s="18"/>
      <c r="E9" s="18"/>
      <c r="F9" s="18"/>
      <c r="G9" s="18"/>
      <c r="H9" s="18"/>
      <c r="I9" s="18"/>
      <c r="J9" s="1"/>
      <c r="L9" s="1"/>
      <c r="M9" s="1"/>
      <c r="N9" s="1"/>
    </row>
    <row r="10" spans="1:14" x14ac:dyDescent="0.55000000000000004">
      <c r="A10" s="4">
        <v>44046</v>
      </c>
      <c r="B10" s="18"/>
      <c r="C10" s="18"/>
      <c r="D10" s="18"/>
      <c r="E10" s="18"/>
      <c r="F10" s="18"/>
      <c r="G10" s="18"/>
      <c r="H10" s="18"/>
      <c r="I10" s="18" t="s">
        <v>41</v>
      </c>
      <c r="J10" s="1"/>
      <c r="L10" s="1"/>
      <c r="M10" s="1"/>
      <c r="N10" s="1"/>
    </row>
    <row r="11" spans="1:14" x14ac:dyDescent="0.55000000000000004">
      <c r="A11" s="4">
        <v>44047</v>
      </c>
      <c r="B11" s="18"/>
      <c r="C11" s="18"/>
      <c r="D11" s="18"/>
      <c r="E11" s="18"/>
      <c r="F11" s="18"/>
      <c r="G11" s="18"/>
      <c r="H11" s="18"/>
      <c r="I11" s="18" t="s">
        <v>41</v>
      </c>
      <c r="J11" s="1"/>
      <c r="L11" s="1"/>
      <c r="M11" s="1"/>
      <c r="N11" s="1"/>
    </row>
    <row r="12" spans="1:14" x14ac:dyDescent="0.55000000000000004">
      <c r="A12" s="4">
        <v>44048</v>
      </c>
      <c r="B12" s="18"/>
      <c r="C12" s="18"/>
      <c r="D12" s="18"/>
      <c r="E12" s="18"/>
      <c r="F12" s="18"/>
      <c r="G12" s="18"/>
      <c r="H12" s="19" t="s">
        <v>38</v>
      </c>
      <c r="I12" s="20" t="s">
        <v>41</v>
      </c>
      <c r="J12" s="1"/>
      <c r="L12" s="1"/>
      <c r="M12" s="1"/>
      <c r="N12" s="1"/>
    </row>
    <row r="13" spans="1:14" x14ac:dyDescent="0.55000000000000004">
      <c r="A13" s="4">
        <v>44049</v>
      </c>
      <c r="B13" s="18"/>
      <c r="C13" s="18"/>
      <c r="D13" s="18"/>
      <c r="E13" s="18"/>
      <c r="F13" s="18"/>
      <c r="G13" s="18"/>
      <c r="H13" s="18"/>
      <c r="I13" s="18" t="s">
        <v>41</v>
      </c>
      <c r="J13" s="1"/>
      <c r="L13" s="1"/>
      <c r="M13" s="1"/>
      <c r="N13" s="1"/>
    </row>
    <row r="14" spans="1:14" x14ac:dyDescent="0.55000000000000004">
      <c r="A14" s="4">
        <v>44050</v>
      </c>
      <c r="B14" s="18"/>
      <c r="C14" s="18"/>
      <c r="D14" s="18"/>
      <c r="E14" s="19" t="s">
        <v>28</v>
      </c>
      <c r="F14" s="18"/>
      <c r="G14" s="18"/>
      <c r="H14" s="18"/>
      <c r="I14" s="18" t="s">
        <v>41</v>
      </c>
      <c r="J14" s="1"/>
      <c r="L14" s="1"/>
      <c r="M14" s="1"/>
      <c r="N14" s="1"/>
    </row>
    <row r="15" spans="1:14" x14ac:dyDescent="0.55000000000000004">
      <c r="A15" s="4">
        <v>44051</v>
      </c>
      <c r="B15" s="18"/>
      <c r="C15" s="18"/>
      <c r="D15" s="18"/>
      <c r="E15" s="18"/>
      <c r="F15" s="18"/>
      <c r="G15" s="18"/>
      <c r="H15" s="18"/>
      <c r="I15" s="18"/>
      <c r="J15" s="1"/>
      <c r="L15" s="1"/>
      <c r="M15" s="1"/>
      <c r="N15" s="1"/>
    </row>
    <row r="16" spans="1:14" x14ac:dyDescent="0.55000000000000004">
      <c r="A16" s="4">
        <v>44052</v>
      </c>
      <c r="B16" s="18"/>
      <c r="C16" s="18"/>
      <c r="D16" s="18"/>
      <c r="E16" s="18"/>
      <c r="F16" s="18"/>
      <c r="G16" s="18"/>
      <c r="H16" s="18"/>
      <c r="I16" s="18"/>
      <c r="J16" s="1"/>
      <c r="L16" s="1"/>
      <c r="M16" s="1"/>
      <c r="N16" s="1"/>
    </row>
    <row r="17" spans="1:14" x14ac:dyDescent="0.55000000000000004">
      <c r="A17" s="4">
        <v>44053</v>
      </c>
      <c r="B17" s="18"/>
      <c r="C17" s="18"/>
      <c r="D17" s="18"/>
      <c r="E17" s="18"/>
      <c r="F17" s="18"/>
      <c r="G17" s="18"/>
      <c r="H17" s="18"/>
      <c r="I17" s="18"/>
      <c r="J17" s="1" t="s">
        <v>35</v>
      </c>
      <c r="L17" s="1"/>
      <c r="M17" s="1"/>
      <c r="N17" s="1"/>
    </row>
    <row r="18" spans="1:14" x14ac:dyDescent="0.55000000000000004">
      <c r="A18" s="4">
        <v>44054</v>
      </c>
      <c r="B18" s="29" t="s">
        <v>32</v>
      </c>
      <c r="C18" s="30" t="s">
        <v>33</v>
      </c>
      <c r="D18" s="18"/>
      <c r="E18" s="19" t="s">
        <v>28</v>
      </c>
      <c r="F18" s="18"/>
      <c r="G18" s="18"/>
      <c r="H18" s="18"/>
      <c r="I18" s="18" t="s">
        <v>41</v>
      </c>
      <c r="J18" s="1"/>
      <c r="L18" s="1"/>
      <c r="M18" s="1"/>
      <c r="N18" s="1"/>
    </row>
    <row r="19" spans="1:14" x14ac:dyDescent="0.55000000000000004">
      <c r="A19" s="4">
        <v>44055</v>
      </c>
      <c r="B19" s="18"/>
      <c r="C19" s="18"/>
      <c r="D19" s="18"/>
      <c r="E19" s="18"/>
      <c r="F19" s="18"/>
      <c r="G19" s="18"/>
      <c r="H19" s="18"/>
      <c r="I19" s="18" t="s">
        <v>41</v>
      </c>
      <c r="J19" s="1"/>
      <c r="L19" s="1"/>
      <c r="M19" s="1"/>
      <c r="N19" s="1"/>
    </row>
    <row r="20" spans="1:14" x14ac:dyDescent="0.55000000000000004">
      <c r="A20" s="4">
        <v>44056</v>
      </c>
      <c r="B20" s="18"/>
      <c r="C20" s="18"/>
      <c r="D20" s="18"/>
      <c r="E20" s="18"/>
      <c r="F20" s="18"/>
      <c r="G20" s="18"/>
      <c r="H20" s="19" t="s">
        <v>28</v>
      </c>
      <c r="I20" s="20" t="s">
        <v>41</v>
      </c>
      <c r="J20" s="1"/>
      <c r="L20" s="1"/>
      <c r="M20" s="1"/>
      <c r="N20" s="1"/>
    </row>
    <row r="21" spans="1:14" x14ac:dyDescent="0.55000000000000004">
      <c r="A21" s="4">
        <v>44057</v>
      </c>
      <c r="B21" s="18"/>
      <c r="C21" s="18"/>
      <c r="D21" s="18"/>
      <c r="E21" s="18"/>
      <c r="F21" s="18"/>
      <c r="G21" s="18"/>
      <c r="H21" s="19" t="s">
        <v>28</v>
      </c>
      <c r="I21" s="20" t="s">
        <v>41</v>
      </c>
      <c r="J21" s="1"/>
      <c r="L21" s="1"/>
      <c r="M21" s="1"/>
      <c r="N21" s="1"/>
    </row>
    <row r="22" spans="1:14" x14ac:dyDescent="0.55000000000000004">
      <c r="A22" s="4">
        <v>44058</v>
      </c>
      <c r="B22" s="18"/>
      <c r="C22" s="18"/>
      <c r="D22" s="18"/>
      <c r="E22" s="18"/>
      <c r="F22" s="18"/>
      <c r="G22" s="18"/>
      <c r="H22" s="18"/>
      <c r="I22" s="18"/>
      <c r="J22" s="1"/>
      <c r="L22" s="1"/>
      <c r="M22" s="1"/>
      <c r="N22" s="1"/>
    </row>
    <row r="23" spans="1:14" x14ac:dyDescent="0.55000000000000004">
      <c r="A23" s="4">
        <v>44059</v>
      </c>
      <c r="B23" s="18"/>
      <c r="C23" s="18"/>
      <c r="D23" s="18"/>
      <c r="E23" s="18"/>
      <c r="F23" s="18"/>
      <c r="G23" s="18"/>
      <c r="H23" s="18"/>
      <c r="I23" s="18"/>
      <c r="J23" s="1"/>
      <c r="L23" s="1"/>
      <c r="M23" s="1"/>
      <c r="N23" s="1"/>
    </row>
    <row r="24" spans="1:14" x14ac:dyDescent="0.55000000000000004">
      <c r="A24" s="4">
        <v>44060</v>
      </c>
      <c r="B24" s="18"/>
      <c r="C24" s="18"/>
      <c r="D24" s="18"/>
      <c r="E24" s="18"/>
      <c r="F24" s="18"/>
      <c r="G24" s="18"/>
      <c r="H24" s="18"/>
      <c r="I24" s="18" t="s">
        <v>41</v>
      </c>
      <c r="J24" s="1"/>
      <c r="L24" s="1"/>
      <c r="M24" s="1"/>
      <c r="N24" s="1"/>
    </row>
    <row r="25" spans="1:14" x14ac:dyDescent="0.55000000000000004">
      <c r="A25" s="4">
        <v>44061</v>
      </c>
      <c r="B25" s="18"/>
      <c r="C25" s="18"/>
      <c r="D25" s="18"/>
      <c r="E25" s="18"/>
      <c r="F25" s="18"/>
      <c r="G25" s="18"/>
      <c r="H25" s="18"/>
      <c r="I25" s="18" t="s">
        <v>41</v>
      </c>
      <c r="J25" s="1"/>
      <c r="L25" s="1"/>
      <c r="M25" s="1"/>
      <c r="N25" s="1"/>
    </row>
    <row r="26" spans="1:14" x14ac:dyDescent="0.55000000000000004">
      <c r="A26" s="4">
        <v>44062</v>
      </c>
      <c r="B26" s="18"/>
      <c r="C26" s="18"/>
      <c r="D26" s="18"/>
      <c r="E26" s="18"/>
      <c r="F26" s="18"/>
      <c r="G26" s="18"/>
      <c r="H26" s="18"/>
      <c r="I26" s="18" t="s">
        <v>41</v>
      </c>
      <c r="J26" s="1"/>
      <c r="L26" s="1"/>
      <c r="M26" s="1"/>
      <c r="N26" s="1"/>
    </row>
    <row r="27" spans="1:14" x14ac:dyDescent="0.55000000000000004">
      <c r="A27" s="4">
        <v>44063</v>
      </c>
      <c r="B27" s="18"/>
      <c r="C27" s="18"/>
      <c r="D27" s="18"/>
      <c r="E27" s="18"/>
      <c r="F27" s="18"/>
      <c r="G27" s="18"/>
      <c r="H27" s="18"/>
      <c r="I27" s="18" t="s">
        <v>41</v>
      </c>
      <c r="J27" s="1"/>
      <c r="L27" s="1"/>
      <c r="M27" s="1"/>
      <c r="N27" s="1"/>
    </row>
    <row r="28" spans="1:14" x14ac:dyDescent="0.55000000000000004">
      <c r="A28" s="4">
        <v>44064</v>
      </c>
      <c r="B28" s="18"/>
      <c r="C28" s="18"/>
      <c r="D28" s="18"/>
      <c r="E28" s="18"/>
      <c r="F28" s="18"/>
      <c r="G28" s="19" t="s">
        <v>28</v>
      </c>
      <c r="H28" s="18"/>
      <c r="I28" s="18" t="s">
        <v>41</v>
      </c>
      <c r="J28" s="1"/>
      <c r="L28" s="1"/>
      <c r="M28" s="1"/>
      <c r="N28" s="1"/>
    </row>
    <row r="29" spans="1:14" x14ac:dyDescent="0.55000000000000004">
      <c r="A29" s="4">
        <v>44065</v>
      </c>
      <c r="B29" s="18"/>
      <c r="C29" s="18"/>
      <c r="D29" s="18"/>
      <c r="E29" s="18"/>
      <c r="F29" s="18"/>
      <c r="G29" s="18"/>
      <c r="H29" s="18"/>
      <c r="I29" s="18"/>
      <c r="J29" s="1"/>
      <c r="L29" s="1"/>
      <c r="M29" s="1"/>
      <c r="N29" s="1"/>
    </row>
    <row r="30" spans="1:14" x14ac:dyDescent="0.55000000000000004">
      <c r="A30" s="4">
        <v>44066</v>
      </c>
      <c r="B30" s="18"/>
      <c r="C30" s="18"/>
      <c r="D30" s="18"/>
      <c r="E30" s="18"/>
      <c r="F30" s="18"/>
      <c r="G30" s="18"/>
      <c r="H30" s="18"/>
      <c r="I30" s="18"/>
      <c r="J30" s="1"/>
      <c r="L30" s="1"/>
      <c r="M30" s="1"/>
      <c r="N30" s="1"/>
    </row>
    <row r="31" spans="1:14" x14ac:dyDescent="0.55000000000000004">
      <c r="A31" s="4">
        <v>44067</v>
      </c>
      <c r="B31" s="18"/>
      <c r="C31" s="18"/>
      <c r="D31" s="18"/>
      <c r="E31" s="18"/>
      <c r="F31" s="18"/>
      <c r="G31" s="18"/>
      <c r="H31" s="18"/>
      <c r="I31" s="18" t="s">
        <v>41</v>
      </c>
      <c r="J31" s="1"/>
      <c r="L31" s="1"/>
      <c r="M31" s="1"/>
      <c r="N31" s="1"/>
    </row>
    <row r="32" spans="1:14" x14ac:dyDescent="0.55000000000000004">
      <c r="A32" s="4">
        <v>44068</v>
      </c>
      <c r="B32" s="18"/>
      <c r="C32" s="18"/>
      <c r="D32" s="18"/>
      <c r="E32" s="18"/>
      <c r="F32" s="18"/>
      <c r="G32" s="18"/>
      <c r="H32" s="18"/>
      <c r="I32" s="18" t="s">
        <v>41</v>
      </c>
      <c r="J32" s="1"/>
      <c r="L32" s="1"/>
      <c r="M32" s="1"/>
      <c r="N32" s="1"/>
    </row>
    <row r="33" spans="1:14" x14ac:dyDescent="0.55000000000000004">
      <c r="A33" s="4">
        <v>44069</v>
      </c>
      <c r="B33" s="18"/>
      <c r="C33" s="18"/>
      <c r="D33" s="19" t="s">
        <v>28</v>
      </c>
      <c r="E33" s="18"/>
      <c r="F33" s="18"/>
      <c r="G33" s="18"/>
      <c r="H33" s="18"/>
      <c r="I33" s="18" t="s">
        <v>41</v>
      </c>
      <c r="J33" s="1"/>
      <c r="L33" s="1"/>
      <c r="M33" s="1"/>
      <c r="N33" s="1"/>
    </row>
    <row r="34" spans="1:14" x14ac:dyDescent="0.55000000000000004">
      <c r="A34" s="4">
        <v>44070</v>
      </c>
      <c r="B34" s="18"/>
      <c r="C34" s="18"/>
      <c r="D34" s="19" t="s">
        <v>28</v>
      </c>
      <c r="E34" s="18"/>
      <c r="F34" s="18"/>
      <c r="G34" s="18"/>
      <c r="H34" s="18"/>
      <c r="I34" s="18" t="s">
        <v>41</v>
      </c>
      <c r="J34" s="1"/>
      <c r="L34" s="1"/>
      <c r="M34" s="1"/>
      <c r="N34" s="1"/>
    </row>
    <row r="35" spans="1:14" x14ac:dyDescent="0.55000000000000004">
      <c r="A35" s="4">
        <v>44071</v>
      </c>
      <c r="B35" s="18"/>
      <c r="C35" s="18"/>
      <c r="D35" s="19" t="s">
        <v>28</v>
      </c>
      <c r="E35" s="18"/>
      <c r="F35" s="18"/>
      <c r="G35" s="18"/>
      <c r="H35" s="18"/>
      <c r="I35" s="18" t="s">
        <v>41</v>
      </c>
      <c r="J35" s="1"/>
      <c r="L35" s="1"/>
      <c r="M35" s="1"/>
      <c r="N35" s="1"/>
    </row>
    <row r="36" spans="1:14" x14ac:dyDescent="0.55000000000000004">
      <c r="A36" s="4">
        <v>44072</v>
      </c>
      <c r="B36" s="18"/>
      <c r="C36" s="18"/>
      <c r="D36" s="18"/>
      <c r="E36" s="18"/>
      <c r="F36" s="18"/>
      <c r="G36" s="18"/>
      <c r="H36" s="18"/>
      <c r="I36" s="18"/>
      <c r="J36" s="1"/>
      <c r="L36" s="1"/>
      <c r="M36" s="1"/>
      <c r="N36" s="1"/>
    </row>
    <row r="37" spans="1:14" x14ac:dyDescent="0.55000000000000004">
      <c r="A37" s="4">
        <v>44073</v>
      </c>
      <c r="B37" s="18"/>
      <c r="C37" s="18"/>
      <c r="D37" s="18"/>
      <c r="E37" s="18"/>
      <c r="F37" s="18"/>
      <c r="G37" s="18"/>
      <c r="H37" s="18"/>
      <c r="I37" s="18"/>
      <c r="J37" s="1"/>
      <c r="L37" s="1"/>
      <c r="M37" s="1"/>
      <c r="N37" s="1"/>
    </row>
    <row r="38" spans="1:14" x14ac:dyDescent="0.55000000000000004">
      <c r="A38" s="4">
        <v>44074</v>
      </c>
      <c r="B38" s="18"/>
      <c r="C38" s="18"/>
      <c r="D38" s="18"/>
      <c r="E38" s="18"/>
      <c r="F38" s="18"/>
      <c r="G38" s="18"/>
      <c r="H38" s="18"/>
      <c r="I38" s="18" t="s">
        <v>41</v>
      </c>
      <c r="J38" s="1"/>
      <c r="L38" s="1"/>
      <c r="M38" s="1"/>
      <c r="N38" s="1"/>
    </row>
    <row r="40" spans="1:14" x14ac:dyDescent="0.55000000000000004">
      <c r="A40" s="5" t="s">
        <v>29</v>
      </c>
      <c r="B40" s="6" t="str">
        <f>B7</f>
        <v>John</v>
      </c>
      <c r="C40" s="6" t="str">
        <f t="shared" ref="C40:H40" si="0">C7</f>
        <v>Tim</v>
      </c>
      <c r="D40" s="6" t="str">
        <f t="shared" si="0"/>
        <v>Tom</v>
      </c>
      <c r="E40" s="6" t="str">
        <f t="shared" si="0"/>
        <v>George</v>
      </c>
      <c r="F40" s="6" t="str">
        <f t="shared" si="0"/>
        <v>Bob</v>
      </c>
      <c r="G40" s="6" t="str">
        <f t="shared" si="0"/>
        <v>James</v>
      </c>
      <c r="H40" s="6" t="str">
        <f t="shared" si="0"/>
        <v>Chris</v>
      </c>
      <c r="I40" s="17"/>
    </row>
    <row r="41" spans="1:14" x14ac:dyDescent="0.55000000000000004">
      <c r="A41" s="1" t="str">
        <f>G2</f>
        <v>AM1</v>
      </c>
      <c r="B41" s="1">
        <f>COUNTIF(B$8:B$38,$A41)</f>
        <v>1</v>
      </c>
      <c r="C41" s="1">
        <f t="shared" ref="C41:H44" si="1">COUNTIF(C$8:C$38,$A41)</f>
        <v>0</v>
      </c>
      <c r="D41" s="1">
        <f t="shared" si="1"/>
        <v>0</v>
      </c>
      <c r="E41" s="1">
        <f t="shared" si="1"/>
        <v>0</v>
      </c>
      <c r="F41" s="1">
        <f t="shared" si="1"/>
        <v>0</v>
      </c>
      <c r="G41" s="1">
        <f t="shared" si="1"/>
        <v>0</v>
      </c>
      <c r="H41" s="1">
        <f t="shared" si="1"/>
        <v>0</v>
      </c>
      <c r="I41" s="16"/>
    </row>
    <row r="42" spans="1:14" x14ac:dyDescent="0.55000000000000004">
      <c r="A42" s="1" t="str">
        <f>G3</f>
        <v>AM2</v>
      </c>
      <c r="B42" s="1">
        <f t="shared" ref="B42:B44" si="2">COUNTIF(B$8:B$38,$A42)</f>
        <v>0</v>
      </c>
      <c r="C42" s="1">
        <f t="shared" si="1"/>
        <v>1</v>
      </c>
      <c r="D42" s="1">
        <f t="shared" si="1"/>
        <v>0</v>
      </c>
      <c r="E42" s="1">
        <f t="shared" si="1"/>
        <v>0</v>
      </c>
      <c r="F42" s="1">
        <f t="shared" si="1"/>
        <v>0</v>
      </c>
      <c r="G42" s="1">
        <f t="shared" si="1"/>
        <v>0</v>
      </c>
      <c r="H42" s="1">
        <f t="shared" si="1"/>
        <v>0</v>
      </c>
      <c r="I42" s="16"/>
    </row>
    <row r="43" spans="1:14" x14ac:dyDescent="0.55000000000000004">
      <c r="A43" s="1" t="str">
        <f>G4</f>
        <v>PM</v>
      </c>
      <c r="B43" s="1">
        <f t="shared" si="2"/>
        <v>0</v>
      </c>
      <c r="C43" s="1">
        <f t="shared" si="1"/>
        <v>0</v>
      </c>
      <c r="D43" s="1">
        <f t="shared" si="1"/>
        <v>0</v>
      </c>
      <c r="E43" s="1">
        <f t="shared" si="1"/>
        <v>0</v>
      </c>
      <c r="F43" s="1">
        <f t="shared" si="1"/>
        <v>0</v>
      </c>
      <c r="G43" s="1">
        <f t="shared" si="1"/>
        <v>0</v>
      </c>
      <c r="H43" s="1">
        <f t="shared" si="1"/>
        <v>0</v>
      </c>
      <c r="I43" s="16"/>
    </row>
    <row r="44" spans="1:14" x14ac:dyDescent="0.55000000000000004">
      <c r="A44" s="1" t="s">
        <v>26</v>
      </c>
      <c r="B44" s="1">
        <f t="shared" si="2"/>
        <v>0</v>
      </c>
      <c r="C44" s="1">
        <f t="shared" si="1"/>
        <v>0</v>
      </c>
      <c r="D44" s="1">
        <f t="shared" si="1"/>
        <v>0</v>
      </c>
      <c r="E44" s="1">
        <f t="shared" si="1"/>
        <v>0</v>
      </c>
      <c r="F44" s="1">
        <f t="shared" si="1"/>
        <v>0</v>
      </c>
      <c r="G44" s="1">
        <f t="shared" si="1"/>
        <v>0</v>
      </c>
      <c r="H44" s="1">
        <f t="shared" si="1"/>
        <v>0</v>
      </c>
      <c r="I44" s="16"/>
    </row>
    <row r="45" spans="1:14" x14ac:dyDescent="0.55000000000000004">
      <c r="A45" s="1" t="s">
        <v>30</v>
      </c>
      <c r="B45" s="1">
        <f>SUM(B41:B43)</f>
        <v>1</v>
      </c>
      <c r="C45" s="1">
        <f t="shared" ref="C45:H45" si="3">SUM(C41:C43)</f>
        <v>1</v>
      </c>
      <c r="D45" s="1">
        <f t="shared" si="3"/>
        <v>0</v>
      </c>
      <c r="E45" s="1">
        <f t="shared" si="3"/>
        <v>0</v>
      </c>
      <c r="F45" s="1">
        <f t="shared" si="3"/>
        <v>0</v>
      </c>
      <c r="G45" s="1">
        <f t="shared" si="3"/>
        <v>0</v>
      </c>
      <c r="H45" s="1">
        <f t="shared" si="3"/>
        <v>0</v>
      </c>
      <c r="I45" s="16"/>
    </row>
  </sheetData>
  <phoneticPr fontId="1"/>
  <conditionalFormatting sqref="A8:A38">
    <cfRule type="expression" dxfId="23" priority="6">
      <formula>J8&lt;&gt;""</formula>
    </cfRule>
    <cfRule type="expression" dxfId="22" priority="7">
      <formula>WEEKDAY(A8)=1</formula>
    </cfRule>
    <cfRule type="expression" dxfId="21" priority="8">
      <formula>WEEKDAY(A8)=7</formula>
    </cfRule>
  </conditionalFormatting>
  <conditionalFormatting sqref="A8:J38 L8:N38">
    <cfRule type="expression" dxfId="20" priority="5">
      <formula>OR(WEEKDAY($A8)=1, WEEKDAY($A8)=7, $J8&lt;&gt;"")</formula>
    </cfRule>
  </conditionalFormatting>
  <conditionalFormatting sqref="B1:I1048576 K1:K1048576">
    <cfRule type="cellIs" dxfId="19" priority="1" operator="equal">
      <formula>"R"</formula>
    </cfRule>
    <cfRule type="cellIs" dxfId="18" priority="2" operator="equal">
      <formula>"PM"</formula>
    </cfRule>
    <cfRule type="cellIs" dxfId="17" priority="3" operator="equal">
      <formula>"AM2"</formula>
    </cfRule>
    <cfRule type="cellIs" dxfId="16" priority="4" operator="equal">
      <formula>"AM1"</formula>
    </cfRule>
  </conditionalFormatting>
  <pageMargins left="0.7" right="0.7" top="0.75" bottom="0.75" header="0.3" footer="0.3"/>
  <pageSetup paperSize="9"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D2157-B517-4278-AB82-83DC15489A36}">
  <dimension ref="A1:N45"/>
  <sheetViews>
    <sheetView zoomScale="85" zoomScaleNormal="85"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8" x14ac:dyDescent="0.55000000000000004"/>
  <cols>
    <col min="1" max="1" width="20.08203125" bestFit="1" customWidth="1"/>
    <col min="2" max="2" width="8.6640625" customWidth="1"/>
    <col min="10" max="10" width="18.83203125" customWidth="1"/>
  </cols>
  <sheetData>
    <row r="1" spans="1:14" ht="23" thickBot="1" x14ac:dyDescent="0.6">
      <c r="A1" s="8" t="s">
        <v>31</v>
      </c>
      <c r="G1" s="25"/>
    </row>
    <row r="2" spans="1:14" x14ac:dyDescent="0.55000000000000004">
      <c r="G2" s="26" t="s">
        <v>32</v>
      </c>
      <c r="H2" s="9" t="s">
        <v>62</v>
      </c>
      <c r="I2" s="9"/>
      <c r="J2" s="9"/>
      <c r="K2" s="21" t="s">
        <v>26</v>
      </c>
      <c r="L2" s="9" t="s">
        <v>66</v>
      </c>
      <c r="M2" s="9"/>
      <c r="N2" s="10"/>
    </row>
    <row r="3" spans="1:14" x14ac:dyDescent="0.55000000000000004">
      <c r="G3" s="27" t="s">
        <v>33</v>
      </c>
      <c r="H3" s="11" t="s">
        <v>63</v>
      </c>
      <c r="I3" s="11"/>
      <c r="J3" s="11"/>
      <c r="K3" s="22" t="s">
        <v>28</v>
      </c>
      <c r="L3" s="11" t="s">
        <v>67</v>
      </c>
      <c r="M3" s="11"/>
      <c r="N3" s="12"/>
    </row>
    <row r="4" spans="1:14" x14ac:dyDescent="0.55000000000000004">
      <c r="G4" s="27" t="s">
        <v>34</v>
      </c>
      <c r="H4" s="11" t="s">
        <v>64</v>
      </c>
      <c r="I4" s="11"/>
      <c r="J4" s="11"/>
      <c r="K4" s="23" t="s">
        <v>37</v>
      </c>
      <c r="L4" s="11" t="s">
        <v>69</v>
      </c>
      <c r="M4" s="11"/>
      <c r="N4" s="12"/>
    </row>
    <row r="5" spans="1:14" ht="18.5" thickBot="1" x14ac:dyDescent="0.6">
      <c r="A5" s="15" t="s">
        <v>61</v>
      </c>
      <c r="B5">
        <v>2</v>
      </c>
      <c r="G5" s="28" t="s">
        <v>27</v>
      </c>
      <c r="H5" s="13" t="s">
        <v>65</v>
      </c>
      <c r="I5" s="13"/>
      <c r="J5" s="13"/>
      <c r="K5" s="24"/>
      <c r="L5" s="13"/>
      <c r="M5" s="13"/>
      <c r="N5" s="14"/>
    </row>
    <row r="6" spans="1:14" x14ac:dyDescent="0.55000000000000004">
      <c r="A6" s="15" t="s">
        <v>39</v>
      </c>
      <c r="B6">
        <v>10</v>
      </c>
    </row>
    <row r="7" spans="1:14" x14ac:dyDescent="0.55000000000000004">
      <c r="A7" s="2" t="s">
        <v>23</v>
      </c>
      <c r="B7" s="2" t="s">
        <v>18</v>
      </c>
      <c r="C7" s="2" t="s">
        <v>19</v>
      </c>
      <c r="D7" s="2" t="s">
        <v>20</v>
      </c>
      <c r="E7" s="2" t="s">
        <v>24</v>
      </c>
      <c r="F7" s="2" t="s">
        <v>25</v>
      </c>
      <c r="G7" s="2" t="s">
        <v>21</v>
      </c>
      <c r="H7" s="2" t="s">
        <v>22</v>
      </c>
      <c r="I7" s="2" t="s">
        <v>40</v>
      </c>
      <c r="J7" s="7" t="s">
        <v>36</v>
      </c>
      <c r="L7" s="2" t="s">
        <v>58</v>
      </c>
      <c r="M7" s="2" t="s">
        <v>59</v>
      </c>
      <c r="N7" s="2" t="s">
        <v>60</v>
      </c>
    </row>
    <row r="8" spans="1:14" x14ac:dyDescent="0.55000000000000004">
      <c r="A8" s="4"/>
      <c r="B8" s="18"/>
      <c r="C8" s="18"/>
      <c r="D8" s="18"/>
      <c r="E8" s="18"/>
      <c r="F8" s="18"/>
      <c r="G8" s="18"/>
      <c r="H8" s="18"/>
      <c r="I8" s="18"/>
      <c r="J8" s="1"/>
      <c r="L8" s="1"/>
      <c r="M8" s="1"/>
      <c r="N8" s="1"/>
    </row>
    <row r="9" spans="1:14" x14ac:dyDescent="0.55000000000000004">
      <c r="A9" s="4"/>
      <c r="B9" s="18"/>
      <c r="C9" s="18"/>
      <c r="D9" s="18"/>
      <c r="E9" s="18"/>
      <c r="F9" s="18"/>
      <c r="G9" s="18"/>
      <c r="H9" s="18"/>
      <c r="I9" s="18"/>
      <c r="J9" s="1"/>
      <c r="L9" s="1"/>
      <c r="M9" s="1"/>
      <c r="N9" s="1"/>
    </row>
    <row r="10" spans="1:14" x14ac:dyDescent="0.55000000000000004">
      <c r="A10" s="4"/>
      <c r="B10" s="18"/>
      <c r="C10" s="18"/>
      <c r="D10" s="18"/>
      <c r="E10" s="18"/>
      <c r="F10" s="18"/>
      <c r="G10" s="18"/>
      <c r="H10" s="18"/>
      <c r="I10" s="18"/>
      <c r="J10" s="1"/>
      <c r="L10" s="1"/>
      <c r="M10" s="1"/>
      <c r="N10" s="1"/>
    </row>
    <row r="11" spans="1:14" x14ac:dyDescent="0.55000000000000004">
      <c r="A11" s="4"/>
      <c r="B11" s="18"/>
      <c r="C11" s="18"/>
      <c r="D11" s="18"/>
      <c r="E11" s="18"/>
      <c r="F11" s="18"/>
      <c r="G11" s="18"/>
      <c r="H11" s="18"/>
      <c r="I11" s="18"/>
      <c r="J11" s="1"/>
      <c r="L11" s="1"/>
      <c r="M11" s="1"/>
      <c r="N11" s="1"/>
    </row>
    <row r="12" spans="1:14" x14ac:dyDescent="0.55000000000000004">
      <c r="A12" s="4"/>
      <c r="B12" s="18"/>
      <c r="C12" s="18"/>
      <c r="D12" s="18"/>
      <c r="E12" s="18"/>
      <c r="F12" s="18"/>
      <c r="G12" s="18"/>
      <c r="H12" s="19"/>
      <c r="I12" s="20"/>
      <c r="J12" s="1"/>
      <c r="L12" s="1"/>
      <c r="M12" s="1"/>
      <c r="N12" s="1"/>
    </row>
    <row r="13" spans="1:14" x14ac:dyDescent="0.55000000000000004">
      <c r="A13" s="4"/>
      <c r="B13" s="18"/>
      <c r="C13" s="18"/>
      <c r="D13" s="18"/>
      <c r="E13" s="18"/>
      <c r="F13" s="18"/>
      <c r="G13" s="18"/>
      <c r="H13" s="18"/>
      <c r="I13" s="18"/>
      <c r="J13" s="1"/>
      <c r="L13" s="1"/>
      <c r="M13" s="1"/>
      <c r="N13" s="1"/>
    </row>
    <row r="14" spans="1:14" x14ac:dyDescent="0.55000000000000004">
      <c r="A14" s="4"/>
      <c r="B14" s="18"/>
      <c r="C14" s="18"/>
      <c r="D14" s="18"/>
      <c r="E14" s="19"/>
      <c r="F14" s="18"/>
      <c r="G14" s="18"/>
      <c r="H14" s="18"/>
      <c r="I14" s="18"/>
      <c r="J14" s="1"/>
      <c r="L14" s="1"/>
      <c r="M14" s="1"/>
      <c r="N14" s="1"/>
    </row>
    <row r="15" spans="1:14" x14ac:dyDescent="0.55000000000000004">
      <c r="A15" s="4"/>
      <c r="B15" s="18"/>
      <c r="C15" s="18"/>
      <c r="D15" s="18"/>
      <c r="E15" s="18"/>
      <c r="F15" s="18"/>
      <c r="G15" s="18"/>
      <c r="H15" s="18"/>
      <c r="I15" s="18"/>
      <c r="J15" s="1"/>
      <c r="L15" s="1"/>
      <c r="M15" s="1"/>
      <c r="N15" s="1"/>
    </row>
    <row r="16" spans="1:14" x14ac:dyDescent="0.55000000000000004">
      <c r="A16" s="4"/>
      <c r="B16" s="18"/>
      <c r="C16" s="18"/>
      <c r="D16" s="18"/>
      <c r="E16" s="18"/>
      <c r="F16" s="18"/>
      <c r="G16" s="18"/>
      <c r="H16" s="18"/>
      <c r="I16" s="18"/>
      <c r="J16" s="1"/>
      <c r="L16" s="1"/>
      <c r="M16" s="1"/>
      <c r="N16" s="1"/>
    </row>
    <row r="17" spans="1:14" x14ac:dyDescent="0.55000000000000004">
      <c r="A17" s="4"/>
      <c r="B17" s="18"/>
      <c r="C17" s="18"/>
      <c r="D17" s="18"/>
      <c r="E17" s="18"/>
      <c r="F17" s="18"/>
      <c r="G17" s="18"/>
      <c r="H17" s="18"/>
      <c r="I17" s="18"/>
      <c r="J17" s="1"/>
      <c r="L17" s="1"/>
      <c r="M17" s="1"/>
      <c r="N17" s="1"/>
    </row>
    <row r="18" spans="1:14" x14ac:dyDescent="0.55000000000000004">
      <c r="A18" s="4"/>
      <c r="B18" s="31"/>
      <c r="C18" s="31"/>
      <c r="D18" s="18"/>
      <c r="E18" s="19"/>
      <c r="F18" s="18"/>
      <c r="G18" s="18"/>
      <c r="H18" s="18"/>
      <c r="I18" s="18"/>
      <c r="J18" s="1"/>
      <c r="L18" s="1"/>
      <c r="M18" s="1"/>
      <c r="N18" s="1"/>
    </row>
    <row r="19" spans="1:14" x14ac:dyDescent="0.55000000000000004">
      <c r="A19" s="4"/>
      <c r="B19" s="18"/>
      <c r="C19" s="18"/>
      <c r="D19" s="18"/>
      <c r="E19" s="18"/>
      <c r="F19" s="18"/>
      <c r="G19" s="18"/>
      <c r="H19" s="18"/>
      <c r="I19" s="18"/>
      <c r="J19" s="1"/>
      <c r="L19" s="1"/>
      <c r="M19" s="1"/>
      <c r="N19" s="1"/>
    </row>
    <row r="20" spans="1:14" x14ac:dyDescent="0.55000000000000004">
      <c r="A20" s="4"/>
      <c r="B20" s="18"/>
      <c r="C20" s="18"/>
      <c r="D20" s="18"/>
      <c r="E20" s="18"/>
      <c r="F20" s="18"/>
      <c r="G20" s="18"/>
      <c r="H20" s="19"/>
      <c r="I20" s="20"/>
      <c r="J20" s="1"/>
      <c r="L20" s="1"/>
      <c r="M20" s="1"/>
      <c r="N20" s="1"/>
    </row>
    <row r="21" spans="1:14" x14ac:dyDescent="0.55000000000000004">
      <c r="A21" s="4"/>
      <c r="B21" s="18"/>
      <c r="C21" s="18"/>
      <c r="D21" s="18"/>
      <c r="E21" s="18"/>
      <c r="F21" s="18"/>
      <c r="G21" s="18"/>
      <c r="H21" s="19"/>
      <c r="I21" s="20"/>
      <c r="J21" s="1"/>
      <c r="L21" s="1"/>
      <c r="M21" s="1"/>
      <c r="N21" s="1"/>
    </row>
    <row r="22" spans="1:14" x14ac:dyDescent="0.55000000000000004">
      <c r="A22" s="4"/>
      <c r="B22" s="18"/>
      <c r="C22" s="18"/>
      <c r="D22" s="18"/>
      <c r="E22" s="18"/>
      <c r="F22" s="18"/>
      <c r="G22" s="18"/>
      <c r="H22" s="18"/>
      <c r="I22" s="18"/>
      <c r="J22" s="1"/>
      <c r="L22" s="1"/>
      <c r="M22" s="1"/>
      <c r="N22" s="1"/>
    </row>
    <row r="23" spans="1:14" x14ac:dyDescent="0.55000000000000004">
      <c r="A23" s="4"/>
      <c r="B23" s="18"/>
      <c r="C23" s="18"/>
      <c r="D23" s="18"/>
      <c r="E23" s="18"/>
      <c r="F23" s="18"/>
      <c r="G23" s="18"/>
      <c r="H23" s="18"/>
      <c r="I23" s="18"/>
      <c r="J23" s="1"/>
      <c r="L23" s="1"/>
      <c r="M23" s="1"/>
      <c r="N23" s="1"/>
    </row>
    <row r="24" spans="1:14" x14ac:dyDescent="0.55000000000000004">
      <c r="A24" s="4"/>
      <c r="B24" s="18"/>
      <c r="C24" s="18"/>
      <c r="D24" s="18"/>
      <c r="E24" s="18"/>
      <c r="F24" s="18"/>
      <c r="G24" s="18"/>
      <c r="H24" s="18"/>
      <c r="I24" s="18"/>
      <c r="J24" s="1"/>
      <c r="L24" s="1"/>
      <c r="M24" s="1"/>
      <c r="N24" s="1"/>
    </row>
    <row r="25" spans="1:14" x14ac:dyDescent="0.55000000000000004">
      <c r="A25" s="4"/>
      <c r="B25" s="18"/>
      <c r="C25" s="18"/>
      <c r="D25" s="18"/>
      <c r="E25" s="18"/>
      <c r="F25" s="18"/>
      <c r="G25" s="18"/>
      <c r="H25" s="18"/>
      <c r="I25" s="18"/>
      <c r="J25" s="1"/>
      <c r="L25" s="1"/>
      <c r="M25" s="1"/>
      <c r="N25" s="1"/>
    </row>
    <row r="26" spans="1:14" x14ac:dyDescent="0.55000000000000004">
      <c r="A26" s="4"/>
      <c r="B26" s="18"/>
      <c r="C26" s="18"/>
      <c r="D26" s="18"/>
      <c r="E26" s="18"/>
      <c r="F26" s="18"/>
      <c r="G26" s="18"/>
      <c r="H26" s="18"/>
      <c r="I26" s="18"/>
      <c r="J26" s="1"/>
      <c r="L26" s="1"/>
      <c r="M26" s="1"/>
      <c r="N26" s="1"/>
    </row>
    <row r="27" spans="1:14" x14ac:dyDescent="0.55000000000000004">
      <c r="A27" s="4"/>
      <c r="B27" s="18"/>
      <c r="C27" s="18"/>
      <c r="D27" s="18"/>
      <c r="E27" s="18"/>
      <c r="F27" s="18"/>
      <c r="G27" s="18"/>
      <c r="H27" s="18"/>
      <c r="I27" s="18"/>
      <c r="J27" s="1"/>
      <c r="L27" s="1"/>
      <c r="M27" s="1"/>
      <c r="N27" s="1"/>
    </row>
    <row r="28" spans="1:14" x14ac:dyDescent="0.55000000000000004">
      <c r="A28" s="4"/>
      <c r="B28" s="18"/>
      <c r="C28" s="18"/>
      <c r="D28" s="18"/>
      <c r="E28" s="18"/>
      <c r="F28" s="18"/>
      <c r="G28" s="19"/>
      <c r="H28" s="18"/>
      <c r="I28" s="18"/>
      <c r="J28" s="1"/>
      <c r="L28" s="1"/>
      <c r="M28" s="1"/>
      <c r="N28" s="1"/>
    </row>
    <row r="29" spans="1:14" x14ac:dyDescent="0.55000000000000004">
      <c r="A29" s="4"/>
      <c r="B29" s="18"/>
      <c r="C29" s="18"/>
      <c r="D29" s="18"/>
      <c r="E29" s="18"/>
      <c r="F29" s="18"/>
      <c r="G29" s="18"/>
      <c r="H29" s="18"/>
      <c r="I29" s="18"/>
      <c r="J29" s="1"/>
      <c r="L29" s="1"/>
      <c r="M29" s="1"/>
      <c r="N29" s="1"/>
    </row>
    <row r="30" spans="1:14" x14ac:dyDescent="0.55000000000000004">
      <c r="A30" s="4"/>
      <c r="B30" s="18"/>
      <c r="C30" s="18"/>
      <c r="D30" s="18"/>
      <c r="E30" s="18"/>
      <c r="F30" s="18"/>
      <c r="G30" s="18"/>
      <c r="H30" s="18"/>
      <c r="I30" s="18"/>
      <c r="J30" s="1"/>
      <c r="L30" s="1"/>
      <c r="M30" s="1"/>
      <c r="N30" s="1"/>
    </row>
    <row r="31" spans="1:14" x14ac:dyDescent="0.55000000000000004">
      <c r="A31" s="4"/>
      <c r="B31" s="18"/>
      <c r="C31" s="18"/>
      <c r="D31" s="18"/>
      <c r="E31" s="18"/>
      <c r="F31" s="18"/>
      <c r="G31" s="18"/>
      <c r="H31" s="18"/>
      <c r="I31" s="18"/>
      <c r="J31" s="1"/>
      <c r="L31" s="1"/>
      <c r="M31" s="1"/>
      <c r="N31" s="1"/>
    </row>
    <row r="32" spans="1:14" x14ac:dyDescent="0.55000000000000004">
      <c r="A32" s="4"/>
      <c r="B32" s="18"/>
      <c r="C32" s="18"/>
      <c r="D32" s="18"/>
      <c r="E32" s="18"/>
      <c r="F32" s="18"/>
      <c r="G32" s="18"/>
      <c r="H32" s="18"/>
      <c r="I32" s="18"/>
      <c r="J32" s="1"/>
      <c r="L32" s="1"/>
      <c r="M32" s="1"/>
      <c r="N32" s="1"/>
    </row>
    <row r="33" spans="1:14" x14ac:dyDescent="0.55000000000000004">
      <c r="A33" s="4"/>
      <c r="B33" s="18"/>
      <c r="C33" s="18"/>
      <c r="D33" s="19"/>
      <c r="E33" s="18"/>
      <c r="F33" s="18"/>
      <c r="G33" s="18"/>
      <c r="H33" s="18"/>
      <c r="I33" s="18"/>
      <c r="J33" s="1"/>
      <c r="L33" s="1"/>
      <c r="M33" s="1"/>
      <c r="N33" s="1"/>
    </row>
    <row r="34" spans="1:14" x14ac:dyDescent="0.55000000000000004">
      <c r="A34" s="4"/>
      <c r="B34" s="18"/>
      <c r="C34" s="18"/>
      <c r="D34" s="19"/>
      <c r="E34" s="18"/>
      <c r="F34" s="18"/>
      <c r="G34" s="18"/>
      <c r="H34" s="18"/>
      <c r="I34" s="18"/>
      <c r="J34" s="1"/>
      <c r="L34" s="1"/>
      <c r="M34" s="1"/>
      <c r="N34" s="1"/>
    </row>
    <row r="35" spans="1:14" x14ac:dyDescent="0.55000000000000004">
      <c r="A35" s="4"/>
      <c r="B35" s="18"/>
      <c r="C35" s="18"/>
      <c r="D35" s="19"/>
      <c r="E35" s="18"/>
      <c r="F35" s="18"/>
      <c r="G35" s="18"/>
      <c r="H35" s="18"/>
      <c r="I35" s="18"/>
      <c r="J35" s="1"/>
      <c r="L35" s="1"/>
      <c r="M35" s="1"/>
      <c r="N35" s="1"/>
    </row>
    <row r="36" spans="1:14" x14ac:dyDescent="0.55000000000000004">
      <c r="A36" s="4"/>
      <c r="B36" s="18"/>
      <c r="C36" s="18"/>
      <c r="D36" s="18"/>
      <c r="E36" s="18"/>
      <c r="F36" s="18"/>
      <c r="G36" s="18"/>
      <c r="H36" s="18"/>
      <c r="I36" s="18"/>
      <c r="J36" s="1"/>
      <c r="L36" s="1"/>
      <c r="M36" s="1"/>
      <c r="N36" s="1"/>
    </row>
    <row r="37" spans="1:14" x14ac:dyDescent="0.55000000000000004">
      <c r="A37" s="4"/>
      <c r="B37" s="18"/>
      <c r="C37" s="18"/>
      <c r="D37" s="18"/>
      <c r="E37" s="18"/>
      <c r="F37" s="18"/>
      <c r="G37" s="18"/>
      <c r="H37" s="18"/>
      <c r="I37" s="18"/>
      <c r="J37" s="1"/>
      <c r="L37" s="1"/>
      <c r="M37" s="1"/>
      <c r="N37" s="1"/>
    </row>
    <row r="38" spans="1:14" x14ac:dyDescent="0.55000000000000004">
      <c r="A38" s="4"/>
      <c r="B38" s="18"/>
      <c r="C38" s="18"/>
      <c r="D38" s="18"/>
      <c r="E38" s="18"/>
      <c r="F38" s="18"/>
      <c r="G38" s="18"/>
      <c r="H38" s="18"/>
      <c r="I38" s="18"/>
      <c r="J38" s="1"/>
      <c r="L38" s="1"/>
      <c r="M38" s="1"/>
      <c r="N38" s="1"/>
    </row>
    <row r="40" spans="1:14" x14ac:dyDescent="0.55000000000000004">
      <c r="A40" s="5" t="s">
        <v>29</v>
      </c>
      <c r="B40" s="6" t="str">
        <f>B7</f>
        <v>John</v>
      </c>
      <c r="C40" s="6" t="str">
        <f t="shared" ref="C40:H40" si="0">C7</f>
        <v>Tim</v>
      </c>
      <c r="D40" s="6" t="str">
        <f t="shared" si="0"/>
        <v>Tom</v>
      </c>
      <c r="E40" s="6" t="str">
        <f t="shared" si="0"/>
        <v>George</v>
      </c>
      <c r="F40" s="6" t="str">
        <f t="shared" si="0"/>
        <v>Bob</v>
      </c>
      <c r="G40" s="6" t="str">
        <f t="shared" si="0"/>
        <v>James</v>
      </c>
      <c r="H40" s="6" t="str">
        <f t="shared" si="0"/>
        <v>Chris</v>
      </c>
      <c r="I40" s="17"/>
    </row>
    <row r="41" spans="1:14" x14ac:dyDescent="0.55000000000000004">
      <c r="A41" s="1" t="str">
        <f>G2</f>
        <v>AM1</v>
      </c>
      <c r="B41" s="1">
        <f>COUNTIF(B$8:B$38,$A41)</f>
        <v>0</v>
      </c>
      <c r="C41" s="1">
        <f t="shared" ref="C41:H44" si="1">COUNTIF(C$8:C$38,$A41)</f>
        <v>0</v>
      </c>
      <c r="D41" s="1">
        <f t="shared" si="1"/>
        <v>0</v>
      </c>
      <c r="E41" s="1">
        <f t="shared" si="1"/>
        <v>0</v>
      </c>
      <c r="F41" s="1">
        <f t="shared" si="1"/>
        <v>0</v>
      </c>
      <c r="G41" s="1">
        <f t="shared" si="1"/>
        <v>0</v>
      </c>
      <c r="H41" s="1">
        <f t="shared" si="1"/>
        <v>0</v>
      </c>
      <c r="I41" s="16"/>
    </row>
    <row r="42" spans="1:14" x14ac:dyDescent="0.55000000000000004">
      <c r="A42" s="1" t="str">
        <f>G3</f>
        <v>AM2</v>
      </c>
      <c r="B42" s="1">
        <f t="shared" ref="B42:B44" si="2">COUNTIF(B$8:B$38,$A42)</f>
        <v>0</v>
      </c>
      <c r="C42" s="1">
        <f t="shared" si="1"/>
        <v>0</v>
      </c>
      <c r="D42" s="1">
        <f t="shared" si="1"/>
        <v>0</v>
      </c>
      <c r="E42" s="1">
        <f t="shared" si="1"/>
        <v>0</v>
      </c>
      <c r="F42" s="1">
        <f t="shared" si="1"/>
        <v>0</v>
      </c>
      <c r="G42" s="1">
        <f t="shared" si="1"/>
        <v>0</v>
      </c>
      <c r="H42" s="1">
        <f t="shared" si="1"/>
        <v>0</v>
      </c>
      <c r="I42" s="16"/>
    </row>
    <row r="43" spans="1:14" x14ac:dyDescent="0.55000000000000004">
      <c r="A43" s="1" t="str">
        <f>G4</f>
        <v>PM</v>
      </c>
      <c r="B43" s="1">
        <f t="shared" si="2"/>
        <v>0</v>
      </c>
      <c r="C43" s="1">
        <f t="shared" si="1"/>
        <v>0</v>
      </c>
      <c r="D43" s="1">
        <f t="shared" si="1"/>
        <v>0</v>
      </c>
      <c r="E43" s="1">
        <f t="shared" si="1"/>
        <v>0</v>
      </c>
      <c r="F43" s="1">
        <f t="shared" si="1"/>
        <v>0</v>
      </c>
      <c r="G43" s="1">
        <f t="shared" si="1"/>
        <v>0</v>
      </c>
      <c r="H43" s="1">
        <f t="shared" si="1"/>
        <v>0</v>
      </c>
      <c r="I43" s="16"/>
    </row>
    <row r="44" spans="1:14" x14ac:dyDescent="0.55000000000000004">
      <c r="A44" s="1" t="s">
        <v>26</v>
      </c>
      <c r="B44" s="1">
        <f t="shared" si="2"/>
        <v>0</v>
      </c>
      <c r="C44" s="1">
        <f t="shared" si="1"/>
        <v>0</v>
      </c>
      <c r="D44" s="1">
        <f t="shared" si="1"/>
        <v>0</v>
      </c>
      <c r="E44" s="1">
        <f t="shared" si="1"/>
        <v>0</v>
      </c>
      <c r="F44" s="1">
        <f t="shared" si="1"/>
        <v>0</v>
      </c>
      <c r="G44" s="1">
        <f t="shared" si="1"/>
        <v>0</v>
      </c>
      <c r="H44" s="1">
        <f t="shared" si="1"/>
        <v>0</v>
      </c>
      <c r="I44" s="16"/>
    </row>
    <row r="45" spans="1:14" x14ac:dyDescent="0.55000000000000004">
      <c r="A45" s="1" t="s">
        <v>30</v>
      </c>
      <c r="B45" s="1">
        <f>SUM(B41:B43)</f>
        <v>0</v>
      </c>
      <c r="C45" s="1">
        <f t="shared" ref="C45:H45" si="3">SUM(C41:C43)</f>
        <v>0</v>
      </c>
      <c r="D45" s="1">
        <f t="shared" si="3"/>
        <v>0</v>
      </c>
      <c r="E45" s="1">
        <f t="shared" si="3"/>
        <v>0</v>
      </c>
      <c r="F45" s="1">
        <f t="shared" si="3"/>
        <v>0</v>
      </c>
      <c r="G45" s="1">
        <f t="shared" si="3"/>
        <v>0</v>
      </c>
      <c r="H45" s="1">
        <f t="shared" si="3"/>
        <v>0</v>
      </c>
      <c r="I45" s="16"/>
    </row>
  </sheetData>
  <phoneticPr fontId="1"/>
  <conditionalFormatting sqref="A8:A38">
    <cfRule type="expression" dxfId="15" priority="14">
      <formula>J8&lt;&gt;""</formula>
    </cfRule>
    <cfRule type="expression" dxfId="14" priority="15">
      <formula>WEEKDAY(A8)=1</formula>
    </cfRule>
    <cfRule type="expression" dxfId="13" priority="16">
      <formula>WEEKDAY(A8)=7</formula>
    </cfRule>
  </conditionalFormatting>
  <conditionalFormatting sqref="A8:J38 L8:N38">
    <cfRule type="expression" dxfId="12" priority="13">
      <formula>OR(WEEKDAY($A8)=1, WEEKDAY($A8)=7, $J8&lt;&gt;"")</formula>
    </cfRule>
  </conditionalFormatting>
  <conditionalFormatting sqref="B1:I1 K1:K1048576 B7:I1048576 C6:I6 C5:G5 B2:G4 I2:I5">
    <cfRule type="cellIs" dxfId="11" priority="9" operator="equal">
      <formula>"R"</formula>
    </cfRule>
    <cfRule type="cellIs" dxfId="10" priority="10" operator="equal">
      <formula>"PM"</formula>
    </cfRule>
    <cfRule type="cellIs" dxfId="9" priority="11" operator="equal">
      <formula>"AM2"</formula>
    </cfRule>
    <cfRule type="cellIs" dxfId="8" priority="12" operator="equal">
      <formula>"AM1"</formula>
    </cfRule>
  </conditionalFormatting>
  <conditionalFormatting sqref="B5:B6">
    <cfRule type="cellIs" dxfId="7" priority="5" operator="equal">
      <formula>"R"</formula>
    </cfRule>
    <cfRule type="cellIs" dxfId="6" priority="6" operator="equal">
      <formula>"PM"</formula>
    </cfRule>
    <cfRule type="cellIs" dxfId="5" priority="7" operator="equal">
      <formula>"AM2"</formula>
    </cfRule>
    <cfRule type="cellIs" dxfId="4" priority="8" operator="equal">
      <formula>"AM1"</formula>
    </cfRule>
  </conditionalFormatting>
  <conditionalFormatting sqref="H2:H5">
    <cfRule type="cellIs" dxfId="3" priority="1" operator="equal">
      <formula>"R"</formula>
    </cfRule>
    <cfRule type="cellIs" dxfId="2" priority="2" operator="equal">
      <formula>"PM"</formula>
    </cfRule>
    <cfRule type="cellIs" dxfId="1" priority="3" operator="equal">
      <formula>"AM2"</formula>
    </cfRule>
    <cfRule type="cellIs" dxfId="0" priority="4" operator="equal">
      <formula>"AM1"</formula>
    </cfRule>
  </conditionalFormatting>
  <pageMargins left="0.7" right="0.7" top="0.75" bottom="0.75" header="0.3" footer="0.3"/>
  <pageSetup paperSize="9" orientation="portrait" horizontalDpi="4294967293" vertic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2A211F-5B91-46EE-8D26-3E2C33C06355}">
  <dimension ref="A1:I14"/>
  <sheetViews>
    <sheetView zoomScale="85" zoomScaleNormal="85" workbookViewId="0"/>
  </sheetViews>
  <sheetFormatPr defaultRowHeight="18" x14ac:dyDescent="0.55000000000000004"/>
  <cols>
    <col min="1" max="1" width="4.4140625" customWidth="1"/>
    <col min="2" max="2" width="20.9140625" customWidth="1"/>
    <col min="3" max="3" width="4.1640625" bestFit="1" customWidth="1"/>
    <col min="4" max="4" width="41.75" customWidth="1"/>
    <col min="6" max="6" width="4.1640625" bestFit="1" customWidth="1"/>
    <col min="7" max="8" width="9.33203125" bestFit="1" customWidth="1"/>
    <col min="9" max="9" width="31.75" customWidth="1"/>
  </cols>
  <sheetData>
    <row r="1" spans="1:9" x14ac:dyDescent="0.55000000000000004">
      <c r="A1" s="3" t="s">
        <v>0</v>
      </c>
      <c r="F1" s="3" t="s">
        <v>14</v>
      </c>
    </row>
    <row r="2" spans="1:9" x14ac:dyDescent="0.55000000000000004">
      <c r="B2" t="s">
        <v>3</v>
      </c>
      <c r="G2" t="s">
        <v>15</v>
      </c>
    </row>
    <row r="3" spans="1:9" x14ac:dyDescent="0.55000000000000004">
      <c r="B3" t="s">
        <v>13</v>
      </c>
    </row>
    <row r="7" spans="1:9" x14ac:dyDescent="0.55000000000000004">
      <c r="A7" s="2" t="s">
        <v>1</v>
      </c>
      <c r="B7" s="2" t="s">
        <v>2</v>
      </c>
      <c r="C7" s="2" t="s">
        <v>12</v>
      </c>
      <c r="D7" s="2" t="s">
        <v>4</v>
      </c>
      <c r="F7" s="2" t="s">
        <v>1</v>
      </c>
      <c r="G7" s="2" t="s">
        <v>16</v>
      </c>
      <c r="H7" s="2" t="s">
        <v>17</v>
      </c>
      <c r="I7" s="2" t="s">
        <v>4</v>
      </c>
    </row>
    <row r="8" spans="1:9" x14ac:dyDescent="0.55000000000000004">
      <c r="A8" s="1">
        <v>1</v>
      </c>
      <c r="B8" s="1" t="s">
        <v>5</v>
      </c>
      <c r="C8" s="1">
        <v>1</v>
      </c>
      <c r="D8" s="1"/>
      <c r="F8" s="1">
        <v>1</v>
      </c>
      <c r="G8" s="1" t="s">
        <v>5</v>
      </c>
      <c r="H8" s="1" t="s">
        <v>6</v>
      </c>
      <c r="I8" s="1"/>
    </row>
    <row r="9" spans="1:9" x14ac:dyDescent="0.55000000000000004">
      <c r="A9" s="1">
        <v>2</v>
      </c>
      <c r="B9" s="1" t="s">
        <v>6</v>
      </c>
      <c r="C9" s="1">
        <v>1</v>
      </c>
      <c r="D9" s="1"/>
      <c r="F9" s="1">
        <v>2</v>
      </c>
      <c r="G9" s="1" t="s">
        <v>6</v>
      </c>
      <c r="H9" s="1" t="s">
        <v>7</v>
      </c>
      <c r="I9" s="1"/>
    </row>
    <row r="10" spans="1:9" x14ac:dyDescent="0.55000000000000004">
      <c r="A10" s="1">
        <v>3</v>
      </c>
      <c r="B10" s="1" t="s">
        <v>7</v>
      </c>
      <c r="C10" s="1">
        <v>1</v>
      </c>
      <c r="D10" s="1"/>
      <c r="F10" s="1">
        <v>3</v>
      </c>
      <c r="G10" s="1" t="s">
        <v>10</v>
      </c>
      <c r="H10" s="1" t="s">
        <v>11</v>
      </c>
      <c r="I10" s="1"/>
    </row>
    <row r="11" spans="1:9" x14ac:dyDescent="0.55000000000000004">
      <c r="A11" s="1">
        <v>4</v>
      </c>
      <c r="B11" s="1" t="s">
        <v>8</v>
      </c>
      <c r="C11" s="1"/>
      <c r="D11" s="1"/>
    </row>
    <row r="12" spans="1:9" x14ac:dyDescent="0.55000000000000004">
      <c r="A12" s="1">
        <v>5</v>
      </c>
      <c r="B12" s="1" t="s">
        <v>9</v>
      </c>
      <c r="C12" s="1">
        <v>1</v>
      </c>
      <c r="D12" s="1"/>
    </row>
    <row r="13" spans="1:9" x14ac:dyDescent="0.55000000000000004">
      <c r="A13" s="1">
        <v>6</v>
      </c>
      <c r="B13" s="1" t="s">
        <v>10</v>
      </c>
      <c r="C13" s="1"/>
      <c r="D13" s="1"/>
    </row>
    <row r="14" spans="1:9" x14ac:dyDescent="0.55000000000000004">
      <c r="A14" s="1">
        <v>7</v>
      </c>
      <c r="B14" s="1" t="s">
        <v>11</v>
      </c>
      <c r="C14" s="1"/>
      <c r="D14" s="1"/>
    </row>
  </sheetData>
  <phoneticPr fontId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DDE242-C142-4460-AE1B-CE31D93E143D}">
  <dimension ref="A1:K11"/>
  <sheetViews>
    <sheetView zoomScale="85" zoomScaleNormal="85" workbookViewId="0"/>
  </sheetViews>
  <sheetFormatPr defaultRowHeight="18" x14ac:dyDescent="0.55000000000000004"/>
  <cols>
    <col min="1" max="1" width="3.4140625" customWidth="1"/>
    <col min="2" max="2" width="4.5" bestFit="1" customWidth="1"/>
    <col min="3" max="3" width="19.33203125" bestFit="1" customWidth="1"/>
    <col min="4" max="4" width="37.4140625" customWidth="1"/>
    <col min="6" max="6" width="6.1640625" customWidth="1"/>
    <col min="7" max="7" width="3.4140625" customWidth="1"/>
    <col min="8" max="8" width="4.5" bestFit="1" customWidth="1"/>
    <col min="9" max="9" width="33.25" bestFit="1" customWidth="1"/>
    <col min="10" max="10" width="37.4140625" customWidth="1"/>
  </cols>
  <sheetData>
    <row r="1" spans="1:11" ht="22.5" x14ac:dyDescent="0.55000000000000004">
      <c r="A1" s="8" t="s">
        <v>42</v>
      </c>
      <c r="G1" s="8"/>
    </row>
    <row r="2" spans="1:11" x14ac:dyDescent="0.55000000000000004">
      <c r="B2" t="s">
        <v>46</v>
      </c>
    </row>
    <row r="5" spans="1:11" x14ac:dyDescent="0.55000000000000004">
      <c r="A5" s="3" t="s">
        <v>47</v>
      </c>
      <c r="G5" s="3" t="s">
        <v>48</v>
      </c>
    </row>
    <row r="6" spans="1:11" x14ac:dyDescent="0.55000000000000004">
      <c r="B6" s="2" t="s">
        <v>1</v>
      </c>
      <c r="C6" s="2" t="s">
        <v>43</v>
      </c>
      <c r="D6" s="2" t="s">
        <v>45</v>
      </c>
      <c r="E6" s="2" t="s">
        <v>44</v>
      </c>
      <c r="H6" s="2" t="s">
        <v>1</v>
      </c>
      <c r="I6" s="2" t="s">
        <v>43</v>
      </c>
      <c r="J6" s="2" t="s">
        <v>45</v>
      </c>
      <c r="K6" s="2" t="s">
        <v>44</v>
      </c>
    </row>
    <row r="7" spans="1:11" x14ac:dyDescent="0.55000000000000004">
      <c r="B7" s="1">
        <v>1</v>
      </c>
      <c r="C7" s="1" t="s">
        <v>49</v>
      </c>
      <c r="D7" s="1"/>
      <c r="E7" s="18"/>
      <c r="H7" s="1">
        <v>1</v>
      </c>
      <c r="I7" s="1" t="s">
        <v>55</v>
      </c>
      <c r="J7" s="1"/>
      <c r="K7" s="18"/>
    </row>
    <row r="8" spans="1:11" x14ac:dyDescent="0.55000000000000004">
      <c r="B8" s="1">
        <v>2</v>
      </c>
      <c r="C8" s="1" t="s">
        <v>50</v>
      </c>
      <c r="D8" s="1"/>
      <c r="E8" s="18"/>
      <c r="H8" s="1">
        <v>2</v>
      </c>
      <c r="I8" s="1" t="s">
        <v>56</v>
      </c>
      <c r="J8" s="1"/>
      <c r="K8" s="18"/>
    </row>
    <row r="9" spans="1:11" x14ac:dyDescent="0.55000000000000004">
      <c r="B9" s="1">
        <v>3</v>
      </c>
      <c r="C9" s="1" t="s">
        <v>51</v>
      </c>
      <c r="D9" s="1"/>
      <c r="E9" s="18"/>
      <c r="H9" s="1">
        <v>3</v>
      </c>
      <c r="I9" s="1" t="s">
        <v>54</v>
      </c>
      <c r="J9" s="1"/>
      <c r="K9" s="18"/>
    </row>
    <row r="10" spans="1:11" x14ac:dyDescent="0.55000000000000004">
      <c r="B10" s="1">
        <v>4</v>
      </c>
      <c r="C10" s="1" t="s">
        <v>52</v>
      </c>
      <c r="D10" s="1"/>
      <c r="E10" s="18"/>
    </row>
    <row r="11" spans="1:11" x14ac:dyDescent="0.55000000000000004">
      <c r="B11" s="1">
        <v>5</v>
      </c>
      <c r="C11" s="1" t="s">
        <v>53</v>
      </c>
      <c r="D11" s="1"/>
      <c r="E11" s="18" t="s">
        <v>57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latest</vt:lpstr>
      <vt:lpstr>template</vt:lpstr>
      <vt:lpstr>monitors</vt:lpstr>
      <vt:lpstr>filters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</dc:creator>
  <cp:lastModifiedBy>Yu</cp:lastModifiedBy>
  <dcterms:created xsi:type="dcterms:W3CDTF">2020-07-17T11:17:22Z</dcterms:created>
  <dcterms:modified xsi:type="dcterms:W3CDTF">2020-08-09T01:31:55Z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9d37a936-d250-4f3e-ae37-c097e9ab24e5</vt:lpwstr>
  </property>
</Properties>
</file>